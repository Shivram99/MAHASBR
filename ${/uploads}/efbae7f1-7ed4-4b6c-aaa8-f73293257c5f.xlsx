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itendra.ghasle\Downloads\"/>
    </mc:Choice>
  </mc:AlternateContent>
  <bookViews>
    <workbookView xWindow="0" yWindow="0" windowWidth="28800" windowHeight="12435"/>
  </bookViews>
  <sheets>
    <sheet name="Aug_Month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F11" i="1" l="1"/>
  <c r="F12" i="1" l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E25" i="1"/>
  <c r="E27" i="1"/>
  <c r="E28" i="1"/>
  <c r="E26" i="1"/>
  <c r="I28" i="1" s="1"/>
  <c r="E29" i="1"/>
  <c r="E30" i="1"/>
  <c r="I26" i="1" l="1"/>
  <c r="I25" i="1" s="1"/>
</calcChain>
</file>

<file path=xl/sharedStrings.xml><?xml version="1.0" encoding="utf-8"?>
<sst xmlns="http://schemas.openxmlformats.org/spreadsheetml/2006/main" count="66" uniqueCount="40">
  <si>
    <t>Emp Name</t>
  </si>
  <si>
    <t>DOJ</t>
  </si>
  <si>
    <t>Emp_Code</t>
  </si>
  <si>
    <t>Location</t>
  </si>
  <si>
    <t xml:space="preserve">Contact No </t>
  </si>
  <si>
    <t>City</t>
  </si>
  <si>
    <t>Mail ID</t>
  </si>
  <si>
    <t>Designation</t>
  </si>
  <si>
    <t>Sr. No.</t>
  </si>
  <si>
    <t>Date</t>
  </si>
  <si>
    <t>Status</t>
  </si>
  <si>
    <t>Sign</t>
  </si>
  <si>
    <t>P</t>
  </si>
  <si>
    <t>Present days</t>
  </si>
  <si>
    <t>Total Month Days</t>
  </si>
  <si>
    <t>A</t>
  </si>
  <si>
    <t>Absent Days</t>
  </si>
  <si>
    <t>Total Billable days (P+WO+OD+CO+PH)</t>
  </si>
  <si>
    <t>WO</t>
  </si>
  <si>
    <t>Weekly Off</t>
  </si>
  <si>
    <t>OD</t>
  </si>
  <si>
    <t>Outdoor Duty</t>
  </si>
  <si>
    <t>CO</t>
  </si>
  <si>
    <t>Compoff</t>
  </si>
  <si>
    <t>PH</t>
  </si>
  <si>
    <t>Public Holiday</t>
  </si>
  <si>
    <t>Approved By:</t>
  </si>
  <si>
    <t>Name of Reporting Manager</t>
  </si>
  <si>
    <t>Signature with Seal</t>
  </si>
  <si>
    <t>Remark : &lt;&lt;Put details of compensatory off&gt;&gt;</t>
  </si>
  <si>
    <t>Attendance Sheet for Month of Aug 2025</t>
  </si>
  <si>
    <t>Jitendra Mahesh Ghasle</t>
  </si>
  <si>
    <t>ABMMH150</t>
  </si>
  <si>
    <t>Nahur</t>
  </si>
  <si>
    <t>Mumbai</t>
  </si>
  <si>
    <t>Senior Software Developer</t>
  </si>
  <si>
    <t>jitendra.ghasle@abmindia.com</t>
  </si>
  <si>
    <t>Javed Kazi</t>
  </si>
  <si>
    <t>Senior Technical Manager</t>
  </si>
  <si>
    <t>Date : 22/08/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</si>
</sst>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2">
    <xf numFmtId="0" fontId="0" fillId="0" borderId="0" xfId="0"/>
    <xf numFmtId="0" fontId="0" fillId="0" borderId="21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14" xfId="0" applyNumberForma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14" xfId="0" applyNumberForma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14" fontId="0" fillId="0" borderId="32" xfId="0" applyNumberFormat="1" applyBorder="1" applyAlignment="1">
      <alignment horizontal="center" wrapText="1"/>
    </xf>
    <xf numFmtId="0" fontId="0" fillId="0" borderId="32" xfId="0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38" xfId="0" applyFont="1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1" xfId="0" applyFont="1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3" fillId="0" borderId="0" xfId="0" applyFont="1"/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14" fontId="0" fillId="0" borderId="11" xfId="0" applyNumberFormat="1" applyBorder="1" applyAlignment="1">
      <alignment horizontal="center" wrapText="1"/>
    </xf>
    <xf numFmtId="14" fontId="0" fillId="0" borderId="15" xfId="0" applyNumberForma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64" fontId="0" fillId="0" borderId="6" xfId="0" applyNumberFormat="1" applyBorder="1" applyAlignment="1">
      <alignment horizontal="center" wrapText="1"/>
    </xf>
    <xf numFmtId="164" fontId="0" fillId="0" borderId="8" xfId="0" applyNumberFormat="1" applyBorder="1" applyAlignment="1">
      <alignment horizontal="center" wrapText="1"/>
    </xf>
    <xf numFmtId="0" fontId="0" fillId="0" borderId="14" xfId="0" applyBorder="1" applyAlignment="1">
      <alignment horizontal="left" vertic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0" fillId="0" borderId="1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2" fillId="0" borderId="21" xfId="1" applyBorder="1" applyAlignment="1">
      <alignment horizontal="center" vertical="center"/>
    </xf>
    <xf numFmtId="0" fontId="2" fillId="0" borderId="22" xfId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0" fillId="0" borderId="36" xfId="0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8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0" borderId="44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4" xfId="0" applyBorder="1" applyAlignment="1">
      <alignment horizontal="center"/>
    </xf>
    <xf numFmtId="0" fontId="4" fillId="0" borderId="17" xfId="1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itendra.ghasle@abmin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6"/>
  <sheetViews>
    <sheetView tabSelected="1" workbookViewId="0">
      <selection activeCell="D23" sqref="D23"/>
    </sheetView>
  </sheetViews>
  <sheetFormatPr defaultRowHeight="15" x14ac:dyDescent="0.25"/>
  <cols>
    <col min="2" max="2" width="6.85546875" customWidth="1"/>
    <col min="3" max="3" width="10.42578125" customWidth="1"/>
    <col min="4" max="4" width="10.140625" customWidth="1"/>
    <col min="5" max="5" width="16.85546875" customWidth="1"/>
    <col min="6" max="6" width="6.85546875" customWidth="1"/>
    <col min="7" max="7" width="10.7109375" customWidth="1"/>
    <col min="8" max="8" width="9.42578125" bestFit="1" customWidth="1"/>
    <col min="9" max="9" width="15.5703125" customWidth="1"/>
  </cols>
  <sheetData>
    <row r="1" spans="2:9" ht="15.75" thickBot="1" x14ac:dyDescent="0.3"/>
    <row r="2" spans="2:9" ht="15.75" thickBot="1" x14ac:dyDescent="0.3">
      <c r="B2" s="51" t="s">
        <v>30</v>
      </c>
      <c r="C2" s="52"/>
      <c r="D2" s="52"/>
      <c r="E2" s="52"/>
      <c r="F2" s="52"/>
      <c r="G2" s="52"/>
      <c r="H2" s="52"/>
      <c r="I2" s="53"/>
    </row>
    <row r="3" spans="2:9" x14ac:dyDescent="0.25">
      <c r="B3" s="54" t="s">
        <v>0</v>
      </c>
      <c r="C3" s="55"/>
      <c r="D3" s="56" t="s">
        <v>31</v>
      </c>
      <c r="E3" s="57"/>
      <c r="F3" s="54" t="s">
        <v>1</v>
      </c>
      <c r="G3" s="55"/>
      <c r="H3" s="58">
        <v>45427</v>
      </c>
      <c r="I3" s="59"/>
    </row>
    <row r="4" spans="2:9" x14ac:dyDescent="0.25">
      <c r="B4" s="43" t="s">
        <v>2</v>
      </c>
      <c r="C4" s="44"/>
      <c r="D4" s="45" t="s">
        <v>32</v>
      </c>
      <c r="E4" s="46"/>
      <c r="F4" s="47" t="s">
        <v>3</v>
      </c>
      <c r="G4" s="48"/>
      <c r="H4" s="49" t="s">
        <v>33</v>
      </c>
      <c r="I4" s="50"/>
    </row>
    <row r="5" spans="2:9" x14ac:dyDescent="0.25">
      <c r="B5" s="47" t="s">
        <v>4</v>
      </c>
      <c r="C5" s="48"/>
      <c r="D5" s="60">
        <v>7020186501</v>
      </c>
      <c r="E5" s="45"/>
      <c r="F5" s="61" t="s">
        <v>5</v>
      </c>
      <c r="G5" s="62"/>
      <c r="H5" s="49" t="s">
        <v>34</v>
      </c>
      <c r="I5" s="50"/>
    </row>
    <row r="6" spans="2:9" x14ac:dyDescent="0.25">
      <c r="B6" s="63" t="s">
        <v>6</v>
      </c>
      <c r="C6" s="64"/>
      <c r="D6" s="110" t="s">
        <v>36</v>
      </c>
      <c r="E6" s="111"/>
      <c r="F6" s="63" t="s">
        <v>7</v>
      </c>
      <c r="G6" s="64"/>
      <c r="H6" s="65" t="s">
        <v>35</v>
      </c>
      <c r="I6" s="66"/>
    </row>
    <row r="7" spans="2:9" ht="15.75" thickBot="1" x14ac:dyDescent="0.3">
      <c r="B7" s="67"/>
      <c r="C7" s="68"/>
      <c r="D7" s="69"/>
      <c r="E7" s="70"/>
      <c r="F7" s="71"/>
      <c r="G7" s="72"/>
      <c r="H7" s="73"/>
      <c r="I7" s="74"/>
    </row>
    <row r="8" spans="2:9" ht="15.75" thickBot="1" x14ac:dyDescent="0.3">
      <c r="B8" s="2" t="s">
        <v>8</v>
      </c>
      <c r="C8" s="3" t="s">
        <v>9</v>
      </c>
      <c r="D8" s="4" t="s">
        <v>10</v>
      </c>
      <c r="E8" s="5" t="s">
        <v>11</v>
      </c>
      <c r="F8" s="2" t="s">
        <v>8</v>
      </c>
      <c r="G8" s="6" t="s">
        <v>9</v>
      </c>
      <c r="H8" s="2" t="s">
        <v>10</v>
      </c>
      <c r="I8" s="7" t="s">
        <v>11</v>
      </c>
    </row>
    <row r="9" spans="2:9" x14ac:dyDescent="0.25">
      <c r="B9" s="8">
        <v>1</v>
      </c>
      <c r="C9" s="9">
        <v>45870</v>
      </c>
      <c r="D9" s="10" t="s">
        <v>12</v>
      </c>
      <c r="E9" s="11"/>
      <c r="F9" s="8">
        <v>16</v>
      </c>
      <c r="G9" s="9">
        <v>45885</v>
      </c>
      <c r="H9" s="12" t="s">
        <v>18</v>
      </c>
      <c r="I9" s="13"/>
    </row>
    <row r="10" spans="2:9" x14ac:dyDescent="0.25">
      <c r="B10" s="14">
        <f>B9+1</f>
        <v>2</v>
      </c>
      <c r="C10" s="9">
        <v>45871</v>
      </c>
      <c r="D10" s="15" t="s">
        <v>18</v>
      </c>
      <c r="E10" s="16"/>
      <c r="F10" s="17">
        <f>F9+1</f>
        <v>17</v>
      </c>
      <c r="G10" s="9">
        <v>45886</v>
      </c>
      <c r="H10" s="12" t="s">
        <v>18</v>
      </c>
      <c r="I10" s="18"/>
    </row>
    <row r="11" spans="2:9" x14ac:dyDescent="0.25">
      <c r="B11" s="14">
        <f t="shared" ref="B11:B23" si="0">B10+1</f>
        <v>3</v>
      </c>
      <c r="C11" s="9">
        <v>45872</v>
      </c>
      <c r="D11" s="15" t="s">
        <v>18</v>
      </c>
      <c r="E11" s="16"/>
      <c r="F11" s="17">
        <f t="shared" ref="F11:F23" si="1">F10+1</f>
        <v>18</v>
      </c>
      <c r="G11" s="9">
        <v>45887</v>
      </c>
      <c r="H11" s="12" t="s">
        <v>12</v>
      </c>
      <c r="I11" s="20"/>
    </row>
    <row r="12" spans="2:9" x14ac:dyDescent="0.25">
      <c r="B12" s="14">
        <f t="shared" si="0"/>
        <v>4</v>
      </c>
      <c r="C12" s="9">
        <v>45873</v>
      </c>
      <c r="D12" s="15" t="s">
        <v>12</v>
      </c>
      <c r="E12" s="16"/>
      <c r="F12" s="17">
        <f t="shared" si="1"/>
        <v>19</v>
      </c>
      <c r="G12" s="9">
        <v>45888</v>
      </c>
      <c r="H12" s="12" t="s">
        <v>24</v>
      </c>
      <c r="I12" s="18"/>
    </row>
    <row r="13" spans="2:9" x14ac:dyDescent="0.25">
      <c r="B13" s="14">
        <f t="shared" si="0"/>
        <v>5</v>
      </c>
      <c r="C13" s="9">
        <v>45874</v>
      </c>
      <c r="D13" s="12" t="s">
        <v>12</v>
      </c>
      <c r="E13" s="16"/>
      <c r="F13" s="17">
        <f t="shared" si="1"/>
        <v>20</v>
      </c>
      <c r="G13" s="9">
        <v>45889</v>
      </c>
      <c r="H13" s="12" t="s">
        <v>12</v>
      </c>
      <c r="I13" s="18"/>
    </row>
    <row r="14" spans="2:9" x14ac:dyDescent="0.25">
      <c r="B14" s="14">
        <f t="shared" si="0"/>
        <v>6</v>
      </c>
      <c r="C14" s="9">
        <v>45875</v>
      </c>
      <c r="D14" s="15" t="s">
        <v>12</v>
      </c>
      <c r="E14" s="16"/>
      <c r="F14" s="17">
        <f t="shared" si="1"/>
        <v>21</v>
      </c>
      <c r="G14" s="9">
        <v>45890</v>
      </c>
      <c r="H14" s="12"/>
      <c r="I14" s="18"/>
    </row>
    <row r="15" spans="2:9" x14ac:dyDescent="0.25">
      <c r="B15" s="14">
        <f t="shared" si="0"/>
        <v>7</v>
      </c>
      <c r="C15" s="9">
        <v>45876</v>
      </c>
      <c r="D15" s="15" t="s">
        <v>12</v>
      </c>
      <c r="E15" s="16"/>
      <c r="F15" s="17">
        <f t="shared" si="1"/>
        <v>22</v>
      </c>
      <c r="G15" s="9">
        <v>45891</v>
      </c>
      <c r="H15" s="19"/>
      <c r="I15" s="18"/>
    </row>
    <row r="16" spans="2:9" x14ac:dyDescent="0.25">
      <c r="B16" s="14">
        <f t="shared" si="0"/>
        <v>8</v>
      </c>
      <c r="C16" s="9">
        <v>45877</v>
      </c>
      <c r="D16" s="15" t="s">
        <v>24</v>
      </c>
      <c r="E16" s="16"/>
      <c r="F16" s="17">
        <f t="shared" si="1"/>
        <v>23</v>
      </c>
      <c r="G16" s="9">
        <v>45892</v>
      </c>
      <c r="H16" s="12"/>
      <c r="I16" s="18"/>
    </row>
    <row r="17" spans="2:9" x14ac:dyDescent="0.25">
      <c r="B17" s="14">
        <f t="shared" si="0"/>
        <v>9</v>
      </c>
      <c r="C17" s="9">
        <v>45878</v>
      </c>
      <c r="D17" s="15" t="s">
        <v>18</v>
      </c>
      <c r="E17" s="16"/>
      <c r="F17" s="17">
        <f t="shared" si="1"/>
        <v>24</v>
      </c>
      <c r="G17" s="9">
        <v>45893</v>
      </c>
      <c r="H17" s="12"/>
      <c r="I17" s="21"/>
    </row>
    <row r="18" spans="2:9" x14ac:dyDescent="0.25">
      <c r="B18" s="14">
        <f t="shared" si="0"/>
        <v>10</v>
      </c>
      <c r="C18" s="9">
        <v>45879</v>
      </c>
      <c r="D18" s="15" t="s">
        <v>18</v>
      </c>
      <c r="E18" s="16"/>
      <c r="F18" s="17">
        <f t="shared" si="1"/>
        <v>25</v>
      </c>
      <c r="G18" s="9">
        <v>45894</v>
      </c>
      <c r="H18" s="12"/>
      <c r="I18" s="22"/>
    </row>
    <row r="19" spans="2:9" x14ac:dyDescent="0.25">
      <c r="B19" s="14">
        <f t="shared" si="0"/>
        <v>11</v>
      </c>
      <c r="C19" s="9">
        <v>45880</v>
      </c>
      <c r="D19" s="15" t="s">
        <v>12</v>
      </c>
      <c r="E19" s="16"/>
      <c r="F19" s="17">
        <f t="shared" si="1"/>
        <v>26</v>
      </c>
      <c r="G19" s="9">
        <v>45895</v>
      </c>
      <c r="H19" s="12"/>
      <c r="I19" s="18"/>
    </row>
    <row r="20" spans="2:9" x14ac:dyDescent="0.25">
      <c r="B20" s="14">
        <f t="shared" si="0"/>
        <v>12</v>
      </c>
      <c r="C20" s="9">
        <v>45881</v>
      </c>
      <c r="D20" s="12" t="s">
        <v>12</v>
      </c>
      <c r="E20" s="16"/>
      <c r="F20" s="17">
        <f t="shared" si="1"/>
        <v>27</v>
      </c>
      <c r="G20" s="9">
        <v>45896</v>
      </c>
      <c r="H20" s="12"/>
      <c r="I20" s="18"/>
    </row>
    <row r="21" spans="2:9" x14ac:dyDescent="0.25">
      <c r="B21" s="14">
        <f t="shared" si="0"/>
        <v>13</v>
      </c>
      <c r="C21" s="9">
        <v>45882</v>
      </c>
      <c r="D21" s="15" t="s">
        <v>15</v>
      </c>
      <c r="E21" s="16"/>
      <c r="F21" s="17">
        <f t="shared" si="1"/>
        <v>28</v>
      </c>
      <c r="G21" s="9">
        <v>45897</v>
      </c>
      <c r="H21" s="12"/>
      <c r="I21" s="18"/>
    </row>
    <row r="22" spans="2:9" x14ac:dyDescent="0.25">
      <c r="B22" s="14">
        <f t="shared" si="0"/>
        <v>14</v>
      </c>
      <c r="C22" s="9">
        <v>45883</v>
      </c>
      <c r="D22" s="15" t="s">
        <v>15</v>
      </c>
      <c r="E22" s="16"/>
      <c r="F22" s="17">
        <f t="shared" si="1"/>
        <v>29</v>
      </c>
      <c r="G22" s="9">
        <v>45898</v>
      </c>
      <c r="H22" s="12"/>
      <c r="I22" s="18"/>
    </row>
    <row r="23" spans="2:9" x14ac:dyDescent="0.25">
      <c r="B23" s="14">
        <f t="shared" si="0"/>
        <v>15</v>
      </c>
      <c r="C23" s="9">
        <v>45884</v>
      </c>
      <c r="D23" s="15" t="s">
        <v>24</v>
      </c>
      <c r="E23" s="16"/>
      <c r="F23" s="17">
        <f t="shared" si="1"/>
        <v>30</v>
      </c>
      <c r="G23" s="9">
        <v>45899</v>
      </c>
      <c r="H23" s="12"/>
      <c r="I23" s="18"/>
    </row>
    <row r="24" spans="2:9" ht="15.75" thickBot="1" x14ac:dyDescent="0.3">
      <c r="B24" s="23"/>
      <c r="C24" s="24"/>
      <c r="D24" s="25"/>
      <c r="E24" s="1"/>
      <c r="F24" s="17">
        <v>31</v>
      </c>
      <c r="G24" s="9">
        <v>45900</v>
      </c>
      <c r="H24" s="26"/>
      <c r="I24" s="27"/>
    </row>
    <row r="25" spans="2:9" ht="15" customHeight="1" x14ac:dyDescent="0.25">
      <c r="B25" s="28" t="s">
        <v>12</v>
      </c>
      <c r="C25" s="75" t="s">
        <v>13</v>
      </c>
      <c r="D25" s="76"/>
      <c r="E25" s="29">
        <f>COUNTIF(C9:H24,"P")</f>
        <v>9</v>
      </c>
      <c r="F25" s="54" t="s">
        <v>14</v>
      </c>
      <c r="G25" s="55"/>
      <c r="H25" s="77"/>
      <c r="I25" s="30">
        <f>I28+I26</f>
        <v>20</v>
      </c>
    </row>
    <row r="26" spans="2:9" x14ac:dyDescent="0.25">
      <c r="B26" s="31" t="s">
        <v>15</v>
      </c>
      <c r="C26" s="78" t="s">
        <v>16</v>
      </c>
      <c r="D26" s="79"/>
      <c r="E26" s="32">
        <f>COUNTIF(C9:H24,"A")</f>
        <v>2</v>
      </c>
      <c r="F26" s="80" t="s">
        <v>17</v>
      </c>
      <c r="G26" s="81"/>
      <c r="H26" s="82"/>
      <c r="I26" s="83">
        <f>E25+E27+E28+E29+E30</f>
        <v>18</v>
      </c>
    </row>
    <row r="27" spans="2:9" ht="15" customHeight="1" x14ac:dyDescent="0.25">
      <c r="B27" s="31" t="s">
        <v>18</v>
      </c>
      <c r="C27" s="78" t="s">
        <v>19</v>
      </c>
      <c r="D27" s="79"/>
      <c r="E27" s="32">
        <f>COUNTIF(C9:H24,"WO")</f>
        <v>6</v>
      </c>
      <c r="F27" s="80"/>
      <c r="G27" s="81"/>
      <c r="H27" s="82"/>
      <c r="I27" s="83"/>
    </row>
    <row r="28" spans="2:9" ht="15.75" thickBot="1" x14ac:dyDescent="0.3">
      <c r="B28" s="31" t="s">
        <v>20</v>
      </c>
      <c r="C28" s="78" t="s">
        <v>21</v>
      </c>
      <c r="D28" s="79"/>
      <c r="E28" s="32">
        <f>COUNTIF(C9:H24,"OD")</f>
        <v>0</v>
      </c>
      <c r="F28" s="84" t="s">
        <v>16</v>
      </c>
      <c r="G28" s="85"/>
      <c r="H28" s="86"/>
      <c r="I28" s="33">
        <f>E26</f>
        <v>2</v>
      </c>
    </row>
    <row r="29" spans="2:9" x14ac:dyDescent="0.25">
      <c r="B29" s="31" t="s">
        <v>22</v>
      </c>
      <c r="C29" s="78" t="s">
        <v>23</v>
      </c>
      <c r="D29" s="79"/>
      <c r="E29" s="32">
        <f>COUNTIF(C9:H24,"CO")</f>
        <v>0</v>
      </c>
      <c r="F29" s="34"/>
      <c r="G29" s="35"/>
      <c r="H29" s="35"/>
      <c r="I29" s="36"/>
    </row>
    <row r="30" spans="2:9" ht="15.75" thickBot="1" x14ac:dyDescent="0.3">
      <c r="B30" s="37" t="s">
        <v>24</v>
      </c>
      <c r="C30" s="87" t="s">
        <v>25</v>
      </c>
      <c r="D30" s="88"/>
      <c r="E30" s="38">
        <f>COUNTIF(C9:H24,"PH")</f>
        <v>3</v>
      </c>
      <c r="F30" s="39"/>
      <c r="G30" s="40"/>
      <c r="H30" s="40"/>
      <c r="I30" s="41"/>
    </row>
    <row r="31" spans="2:9" ht="15.75" thickBot="1" x14ac:dyDescent="0.3">
      <c r="B31" s="89" t="s">
        <v>26</v>
      </c>
      <c r="C31" s="90"/>
      <c r="D31" s="90"/>
      <c r="E31" s="90"/>
      <c r="F31" s="91"/>
      <c r="G31" s="91"/>
      <c r="H31" s="91"/>
      <c r="I31" s="92"/>
    </row>
    <row r="32" spans="2:9" ht="24.95" customHeight="1" thickBot="1" x14ac:dyDescent="0.3">
      <c r="B32" s="93" t="s">
        <v>39</v>
      </c>
      <c r="C32" s="94"/>
      <c r="D32" s="99" t="s">
        <v>27</v>
      </c>
      <c r="E32" s="100"/>
      <c r="F32" s="101" t="s">
        <v>37</v>
      </c>
      <c r="G32" s="102"/>
      <c r="H32" s="102"/>
      <c r="I32" s="103"/>
    </row>
    <row r="33" spans="2:9" ht="24.95" customHeight="1" thickBot="1" x14ac:dyDescent="0.3">
      <c r="B33" s="95"/>
      <c r="C33" s="96"/>
      <c r="D33" s="104" t="s">
        <v>7</v>
      </c>
      <c r="E33" s="105"/>
      <c r="F33" s="89" t="s">
        <v>38</v>
      </c>
      <c r="G33" s="90"/>
      <c r="H33" s="90"/>
      <c r="I33" s="106"/>
    </row>
    <row r="34" spans="2:9" ht="24.95" customHeight="1" thickBot="1" x14ac:dyDescent="0.3">
      <c r="B34" s="97"/>
      <c r="C34" s="98"/>
      <c r="D34" s="104" t="s">
        <v>28</v>
      </c>
      <c r="E34" s="105"/>
      <c r="F34" s="107"/>
      <c r="G34" s="108"/>
      <c r="H34" s="108"/>
      <c r="I34" s="109"/>
    </row>
    <row r="36" spans="2:9" x14ac:dyDescent="0.25">
      <c r="B36" s="42" t="s">
        <v>29</v>
      </c>
    </row>
  </sheetData>
  <mergeCells count="39">
    <mergeCell ref="C29:D29"/>
    <mergeCell ref="C30:D30"/>
    <mergeCell ref="B31:I31"/>
    <mergeCell ref="B32:C34"/>
    <mergeCell ref="D32:E32"/>
    <mergeCell ref="F32:I32"/>
    <mergeCell ref="D33:E33"/>
    <mergeCell ref="F33:I33"/>
    <mergeCell ref="D34:E34"/>
    <mergeCell ref="F34:I34"/>
    <mergeCell ref="C26:D26"/>
    <mergeCell ref="F26:H27"/>
    <mergeCell ref="I26:I27"/>
    <mergeCell ref="C27:D27"/>
    <mergeCell ref="C28:D28"/>
    <mergeCell ref="F28:H28"/>
    <mergeCell ref="B7:C7"/>
    <mergeCell ref="D7:E7"/>
    <mergeCell ref="F7:G7"/>
    <mergeCell ref="H7:I7"/>
    <mergeCell ref="C25:D25"/>
    <mergeCell ref="F25:H25"/>
    <mergeCell ref="B5:C5"/>
    <mergeCell ref="D5:E5"/>
    <mergeCell ref="F5:G5"/>
    <mergeCell ref="H5:I5"/>
    <mergeCell ref="B6:C6"/>
    <mergeCell ref="D6:E6"/>
    <mergeCell ref="F6:G6"/>
    <mergeCell ref="H6:I6"/>
    <mergeCell ref="B4:C4"/>
    <mergeCell ref="D4:E4"/>
    <mergeCell ref="F4:G4"/>
    <mergeCell ref="H4:I4"/>
    <mergeCell ref="B2:I2"/>
    <mergeCell ref="B3:C3"/>
    <mergeCell ref="D3:E3"/>
    <mergeCell ref="F3:G3"/>
    <mergeCell ref="H3:I3"/>
  </mergeCells>
  <dataValidations count="2">
    <dataValidation type="list" allowBlank="1" showInputMessage="1" showErrorMessage="1" sqref="D10:D23 H9:H23">
      <formula1>$B$25:$B$30</formula1>
    </dataValidation>
    <dataValidation type="list" showInputMessage="1" showErrorMessage="1" sqref="D9">
      <formula1>$B$25:$B$30</formula1>
    </dataValidation>
  </dataValidations>
  <hyperlinks>
    <hyperlink ref="D6" r:id="rId1"/>
  </hyperlinks>
  <pageMargins left="0.25" right="0.25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Aug_Month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Berde</dc:creator>
  <cp:lastModifiedBy>Jitendra Ghasle</cp:lastModifiedBy>
  <cp:lastPrinted>2025-08-22T11:11:11Z</cp:lastPrinted>
  <dcterms:created xsi:type="dcterms:W3CDTF">2023-06-20T11:31:19Z</dcterms:created>
  <dcterms:modified xsi:type="dcterms:W3CDTF">2025-08-23T04:32:55Z</dcterms:modified>
</cp:coreProperties>
</file>